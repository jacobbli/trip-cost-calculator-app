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" sheetId="1" r:id="rId4"/>
    <sheet state="visible" name="No Touch" sheetId="2" r:id="rId5"/>
  </sheets>
  <definedNames/>
  <calcPr/>
  <extLst>
    <ext uri="GoogleSheetsCustomDataVersion2">
      <go:sheetsCustomData xmlns:go="http://customooxmlschemas.google.com/" r:id="rId6" roundtripDataChecksum="/XxlILcTKcYdDQX1nkIWf7hz25ChKHTV6pkn8Ligt/8="/>
    </ext>
  </extLst>
</workbook>
</file>

<file path=xl/sharedStrings.xml><?xml version="1.0" encoding="utf-8"?>
<sst xmlns="http://schemas.openxmlformats.org/spreadsheetml/2006/main" count="52" uniqueCount="29">
  <si>
    <t>Use this for adjustments:</t>
  </si>
  <si>
    <t>1. Original End Time/Date</t>
  </si>
  <si>
    <t>Difference (just ignore)</t>
  </si>
  <si>
    <t>2. Adjusted End time/Date</t>
  </si>
  <si>
    <t>3. Start Time/Date</t>
  </si>
  <si>
    <t>4. Copy and paste into ticket:</t>
  </si>
  <si>
    <t>Notes</t>
  </si>
  <si>
    <t>Use This For General Calculations (Use "Tab"):</t>
  </si>
  <si>
    <t>-allow macros</t>
  </si>
  <si>
    <t>1. Start Date (MM/DD/YYYY):</t>
  </si>
  <si>
    <t>2. Start Time (HH:MM):</t>
  </si>
  <si>
    <t>-had to unlock cells so the checkbox works, so careful not to edit the wrong fields; if no like, I'll put up the old version</t>
  </si>
  <si>
    <t>3. End Date</t>
  </si>
  <si>
    <t>4. End Time</t>
  </si>
  <si>
    <t>4. Kilometres Driven:</t>
  </si>
  <si>
    <t>Gross Cost of Trip</t>
  </si>
  <si>
    <t>&gt;200km fee</t>
  </si>
  <si>
    <t>Total Cost</t>
  </si>
  <si>
    <t>Tax @12%</t>
  </si>
  <si>
    <t>PVRT</t>
  </si>
  <si>
    <t>5% for PVRT</t>
  </si>
  <si>
    <t>Subtotal excluding access fee</t>
  </si>
  <si>
    <t>$1 Access Fee (only on first 200 trips)</t>
  </si>
  <si>
    <t>GST/PST for Access Fee</t>
  </si>
  <si>
    <t>Total Cost Including Tax</t>
  </si>
  <si>
    <t>Subtotal</t>
  </si>
  <si>
    <t>General Calculator</t>
  </si>
  <si>
    <t>$1 Access Fee</t>
  </si>
  <si>
    <t>GST/PST on Access Fee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</si>
</sst>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6">
    <numFmt numFmtId="164" formatCode="[$-1009]mmmm\ d\,\ yyyy"/>
    <numFmt numFmtId="165" formatCode="hh:mm"/>
    <numFmt numFmtId="166" formatCode="hh"/>
    <numFmt numFmtId="167" formatCode="_(&quot;$&quot;* #,##0.00_);_(&quot;$&quot;* \(#,##0.00\);_(&quot;$&quot;* &quot;-&quot;??_);_(@_)"/>
    <numFmt numFmtId="168" formatCode="[mm]"/>
    <numFmt numFmtId="169" formatCode="&quot;$&quot;#,##0.00"/>
  </numFmts>
  <fonts count="16">
    <font>
      <sz val="11.0"/>
      <color theme="1"/>
      <name val="Arial"/>
      <scheme val="minor"/>
    </font>
    <font>
      <b/>
      <sz val="11.0"/>
      <color rgb="FFFF0000"/>
      <name val="Calibri"/>
    </font>
    <font>
      <sz val="11.0"/>
      <color theme="1"/>
      <name val="Calibri"/>
    </font>
    <font>
      <sz val="11.0"/>
      <color rgb="FF9C0006"/>
      <name val="Calibri"/>
    </font>
    <font>
      <b/>
      <sz val="11.0"/>
      <color rgb="FF3F3F3F"/>
      <name val="Calibri"/>
    </font>
    <font>
      <u/>
      <sz val="11.0"/>
      <color theme="1"/>
      <name val="Calibri"/>
    </font>
    <font>
      <b/>
      <sz val="12.0"/>
      <color theme="1"/>
      <name val="Calibri"/>
    </font>
    <font>
      <sz val="12.0"/>
      <color theme="1"/>
      <name val="Calibri"/>
    </font>
    <font>
      <b/>
      <sz val="14.0"/>
      <color theme="1"/>
      <name val="Calibri"/>
    </font>
    <font>
      <sz val="14.0"/>
      <color theme="1"/>
      <name val="Calibri"/>
    </font>
    <font/>
    <font>
      <b/>
      <sz val="16.0"/>
      <color theme="1"/>
      <name val="Calibri"/>
    </font>
    <font>
      <b/>
      <sz val="12.0"/>
      <color rgb="FF006100"/>
      <name val="Calibri"/>
    </font>
    <font>
      <b/>
      <sz val="12.0"/>
      <color rgb="FFFA7D00"/>
      <name val="Calibri"/>
    </font>
    <font>
      <sz val="18.0"/>
      <color theme="1"/>
      <name val="Calibri"/>
    </font>
    <font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FFFFCC"/>
        <bgColor rgb="FFFFFFCC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C6EFCE"/>
        <bgColor rgb="FFC6EFCE"/>
      </patternFill>
    </fill>
  </fills>
  <borders count="17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/>
    </border>
    <border>
      <left/>
      <top/>
      <bottom/>
    </border>
    <border>
      <top/>
      <bottom/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/>
      <top/>
      <bottom/>
    </border>
    <border>
      <left style="thin">
        <color rgb="FFBFBFBF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000000"/>
      </left>
      <right/>
      <top/>
      <bottom style="thin">
        <color rgb="FF000000"/>
      </bottom>
    </border>
    <border>
      <left style="thin">
        <color rgb="FFBFBFBF"/>
      </left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</borders>
  <cellStyleXfs count="1">
    <xf borderId="0" fillId="0" fontId="0" numFmtId="0" applyAlignment="1" applyFont="1"/>
  </cellStyleXfs>
  <cellXfs count="4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0" fillId="0" fontId="2" numFmtId="0" xfId="0" applyFont="1"/>
    <xf borderId="0" fillId="0" fontId="1" numFmtId="0" xfId="0" applyFont="1"/>
    <xf borderId="1" fillId="2" fontId="2" numFmtId="20" xfId="0" applyAlignment="1" applyBorder="1" applyFill="1" applyFont="1" applyNumberFormat="1">
      <alignment horizontal="center"/>
    </xf>
    <xf borderId="1" fillId="2" fontId="2" numFmtId="164" xfId="0" applyAlignment="1" applyBorder="1" applyFont="1" applyNumberFormat="1">
      <alignment horizontal="center"/>
    </xf>
    <xf borderId="1" fillId="3" fontId="3" numFmtId="2" xfId="0" applyAlignment="1" applyBorder="1" applyFill="1" applyFont="1" applyNumberFormat="1">
      <alignment horizontal="center"/>
    </xf>
    <xf borderId="1" fillId="2" fontId="2" numFmtId="20" xfId="0" applyAlignment="1" applyBorder="1" applyFont="1" applyNumberFormat="1">
      <alignment horizontal="center" readingOrder="0"/>
    </xf>
    <xf borderId="0" fillId="0" fontId="2" numFmtId="0" xfId="0" applyAlignment="1" applyFont="1">
      <alignment vertical="center"/>
    </xf>
    <xf borderId="2" fillId="4" fontId="4" numFmtId="0" xfId="0" applyAlignment="1" applyBorder="1" applyFill="1" applyFont="1">
      <alignment shrinkToFit="0" wrapText="1"/>
    </xf>
    <xf borderId="0" fillId="0" fontId="5" numFmtId="0" xfId="0" applyFont="1"/>
    <xf quotePrefix="1" borderId="0" fillId="0" fontId="2" numFmtId="0" xfId="0" applyFont="1"/>
    <xf borderId="3" fillId="5" fontId="6" numFmtId="0" xfId="0" applyBorder="1" applyFill="1" applyFont="1"/>
    <xf quotePrefix="1" borderId="0" fillId="0" fontId="2" numFmtId="20" xfId="0" applyFont="1" applyNumberFormat="1"/>
    <xf borderId="1" fillId="2" fontId="7" numFmtId="164" xfId="0" applyAlignment="1" applyBorder="1" applyFont="1" applyNumberFormat="1">
      <alignment horizontal="center" vertical="center"/>
    </xf>
    <xf borderId="1" fillId="2" fontId="7" numFmtId="165" xfId="0" applyAlignment="1" applyBorder="1" applyFont="1" applyNumberFormat="1">
      <alignment horizontal="center" vertical="center"/>
    </xf>
    <xf borderId="3" fillId="5" fontId="8" numFmtId="0" xfId="0" applyBorder="1" applyFont="1"/>
    <xf borderId="3" fillId="5" fontId="9" numFmtId="0" xfId="0" applyBorder="1" applyFont="1"/>
    <xf borderId="1" fillId="2" fontId="7" numFmtId="165" xfId="0" applyAlignment="1" applyBorder="1" applyFont="1" applyNumberFormat="1">
      <alignment horizontal="center" readingOrder="0" vertical="center"/>
    </xf>
    <xf borderId="0" fillId="0" fontId="7" numFmtId="0" xfId="0" applyFont="1"/>
    <xf borderId="3" fillId="5" fontId="9" numFmtId="165" xfId="0" applyBorder="1" applyFont="1" applyNumberFormat="1"/>
    <xf borderId="4" fillId="5" fontId="6" numFmtId="0" xfId="0" applyAlignment="1" applyBorder="1" applyFont="1">
      <alignment horizontal="center"/>
    </xf>
    <xf borderId="5" fillId="0" fontId="10" numFmtId="0" xfId="0" applyBorder="1" applyFont="1"/>
    <xf borderId="3" fillId="5" fontId="11" numFmtId="0" xfId="0" applyBorder="1" applyFont="1"/>
    <xf borderId="1" fillId="2" fontId="7" numFmtId="2" xfId="0" applyAlignment="1" applyBorder="1" applyFont="1" applyNumberFormat="1">
      <alignment horizontal="center" vertical="center"/>
    </xf>
    <xf borderId="3" fillId="5" fontId="7" numFmtId="0" xfId="0" applyBorder="1" applyFont="1"/>
    <xf borderId="3" fillId="5" fontId="2" numFmtId="0" xfId="0" applyBorder="1" applyFont="1"/>
    <xf borderId="6" fillId="0" fontId="6" numFmtId="166" xfId="0" applyAlignment="1" applyBorder="1" applyFont="1" applyNumberFormat="1">
      <alignment horizontal="left"/>
    </xf>
    <xf borderId="7" fillId="0" fontId="7" numFmtId="167" xfId="0" applyBorder="1" applyFont="1" applyNumberFormat="1"/>
    <xf borderId="8" fillId="0" fontId="6" numFmtId="0" xfId="0" applyAlignment="1" applyBorder="1" applyFont="1">
      <alignment horizontal="left"/>
    </xf>
    <xf borderId="9" fillId="0" fontId="7" numFmtId="167" xfId="0" applyBorder="1" applyFont="1" applyNumberFormat="1"/>
    <xf borderId="3" fillId="5" fontId="9" numFmtId="167" xfId="0" applyBorder="1" applyFont="1" applyNumberFormat="1"/>
    <xf borderId="3" fillId="5" fontId="2" numFmtId="165" xfId="0" applyBorder="1" applyFont="1" applyNumberFormat="1"/>
    <xf borderId="10" fillId="6" fontId="12" numFmtId="0" xfId="0" applyAlignment="1" applyBorder="1" applyFill="1" applyFont="1">
      <alignment horizontal="left"/>
    </xf>
    <xf borderId="11" fillId="6" fontId="12" numFmtId="167" xfId="0" applyBorder="1" applyFont="1" applyNumberFormat="1"/>
    <xf borderId="8" fillId="0" fontId="6" numFmtId="168" xfId="0" applyAlignment="1" applyBorder="1" applyFont="1" applyNumberFormat="1">
      <alignment horizontal="left"/>
    </xf>
    <xf borderId="12" fillId="0" fontId="7" numFmtId="167" xfId="0" applyBorder="1" applyFont="1" applyNumberFormat="1"/>
    <xf borderId="13" fillId="4" fontId="13" numFmtId="0" xfId="0" applyAlignment="1" applyBorder="1" applyFont="1">
      <alignment horizontal="left"/>
    </xf>
    <xf borderId="13" fillId="4" fontId="13" numFmtId="167" xfId="0" applyBorder="1" applyFont="1" applyNumberFormat="1"/>
    <xf borderId="14" fillId="6" fontId="12" numFmtId="0" xfId="0" applyAlignment="1" applyBorder="1" applyFont="1">
      <alignment horizontal="left"/>
    </xf>
    <xf borderId="15" fillId="6" fontId="12" numFmtId="167" xfId="0" applyBorder="1" applyFont="1" applyNumberFormat="1"/>
    <xf borderId="3" fillId="5" fontId="14" numFmtId="0" xfId="0" applyBorder="1" applyFont="1"/>
    <xf borderId="1" fillId="2" fontId="9" numFmtId="164" xfId="0" applyAlignment="1" applyBorder="1" applyFont="1" applyNumberFormat="1">
      <alignment horizontal="center" vertical="center"/>
    </xf>
    <xf borderId="16" fillId="2" fontId="9" numFmtId="2" xfId="0" applyAlignment="1" applyBorder="1" applyFont="1" applyNumberFormat="1">
      <alignment horizontal="center" vertical="center"/>
    </xf>
    <xf borderId="1" fillId="2" fontId="9" numFmtId="165" xfId="0" applyAlignment="1" applyBorder="1" applyFont="1" applyNumberFormat="1">
      <alignment horizontal="center" vertical="center"/>
    </xf>
    <xf borderId="0" fillId="0" fontId="15" numFmtId="0" xfId="0" applyFont="1"/>
    <xf borderId="0" fillId="0" fontId="2" numFmtId="169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1400175</xdr:colOff>
      <xdr:row>11</xdr:row>
      <xdr:rowOff>76200</xdr:rowOff>
    </xdr:from>
    <xdr:ext cx="5667375" cy="77152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2" width="32.75"/>
    <col customWidth="1" min="3" max="3" width="25.5"/>
    <col customWidth="1" min="4" max="4" width="27.5"/>
    <col customWidth="1" min="5" max="5" width="24.75"/>
    <col customWidth="1" min="6" max="6" width="11.75"/>
    <col customWidth="1" min="7" max="7" width="20.13"/>
    <col customWidth="1" min="8" max="8" width="5.5"/>
    <col customWidth="1" min="9" max="26" width="7.63"/>
  </cols>
  <sheetData>
    <row r="1" ht="28.5" customHeight="1">
      <c r="A1" s="1" t="s">
        <v>0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2"/>
      <c r="B2" s="2"/>
      <c r="C2" s="2"/>
      <c r="D2" s="3"/>
      <c r="E2" s="3"/>
      <c r="F2" s="3"/>
      <c r="G2" s="3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2" t="s">
        <v>1</v>
      </c>
      <c r="B3" s="4">
        <v>0.6986111111111111</v>
      </c>
      <c r="C3" s="5">
        <f t="shared" ref="C3:C5" si="1">NOW()</f>
        <v>45446.36335</v>
      </c>
      <c r="D3" s="2"/>
      <c r="E3" s="2" t="s">
        <v>2</v>
      </c>
      <c r="F3" s="6">
        <f>'No Touch'!B15-'No Touch'!F15</f>
        <v>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 t="s">
        <v>3</v>
      </c>
      <c r="B4" s="7">
        <v>0.7013888888888888</v>
      </c>
      <c r="C4" s="5">
        <f t="shared" si="1"/>
        <v>45446.36335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2" t="s">
        <v>4</v>
      </c>
      <c r="B5" s="4">
        <v>0.40208333333333335</v>
      </c>
      <c r="C5" s="5">
        <f t="shared" si="1"/>
        <v>45446.36335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>
      <c r="A6" s="8" t="s">
        <v>5</v>
      </c>
      <c r="B6" s="9" t="str">
        <f>'No Touch'!E22</f>
        <v>-Unadjusted trip charge 9:39-16:46 = $100.79
-Adjusted Trip Charge 9:39-16:50 = $100.79
-Difference = $0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>
      <c r="A8" s="2"/>
      <c r="B8" s="2"/>
      <c r="C8" s="2"/>
      <c r="D8" s="2"/>
      <c r="E8" s="10" t="s">
        <v>6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>
      <c r="A9" s="1" t="s">
        <v>7</v>
      </c>
      <c r="D9" s="2"/>
      <c r="E9" s="11" t="s">
        <v>8</v>
      </c>
      <c r="F9" s="3"/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>
      <c r="A10" s="12" t="s">
        <v>9</v>
      </c>
      <c r="B10" s="12" t="s">
        <v>10</v>
      </c>
      <c r="C10" s="2"/>
      <c r="D10" s="2"/>
      <c r="E10" s="13" t="s">
        <v>11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>
      <c r="A11" s="14">
        <f>TODAY()</f>
        <v>45446</v>
      </c>
      <c r="B11" s="15">
        <f>NOW()</f>
        <v>45446.36335</v>
      </c>
      <c r="C11" s="2"/>
      <c r="D11" s="16"/>
      <c r="E11" s="2"/>
      <c r="F11" s="17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>
      <c r="A12" s="12" t="s">
        <v>12</v>
      </c>
      <c r="B12" s="12" t="s">
        <v>13</v>
      </c>
      <c r="C12" s="2"/>
      <c r="D12" s="16"/>
      <c r="E12" s="2"/>
      <c r="F12" s="17"/>
      <c r="G12" s="17"/>
      <c r="H12" s="17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>
      <c r="A13" s="14">
        <f>TODAY()</f>
        <v>45446</v>
      </c>
      <c r="B13" s="18">
        <v>0.3680555555555556</v>
      </c>
      <c r="C13" s="2"/>
      <c r="D13" s="16"/>
      <c r="E13" s="2"/>
      <c r="F13" s="17"/>
      <c r="G13" s="17"/>
      <c r="H13" s="17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>
      <c r="A14" s="2"/>
      <c r="B14" s="19"/>
      <c r="C14" s="20"/>
      <c r="D14" s="17"/>
      <c r="E14" s="17"/>
      <c r="F14" s="17"/>
      <c r="G14" s="17"/>
      <c r="H14" s="17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>
      <c r="A15" s="21" t="str">
        <f>'No Touch'!A22</f>
        <v>0 day(s) 0 hour(s) 7 minute(s)</v>
      </c>
      <c r="B15" s="22"/>
      <c r="C15" s="23"/>
      <c r="D15" s="23"/>
      <c r="E15" s="23"/>
      <c r="F15" s="17"/>
      <c r="G15" s="17"/>
      <c r="H15" s="17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>
      <c r="A16" s="12" t="s">
        <v>14</v>
      </c>
      <c r="B16" s="19"/>
      <c r="C16" s="23"/>
      <c r="D16" s="23"/>
      <c r="E16" s="23"/>
      <c r="F16" s="17"/>
      <c r="G16" s="17"/>
      <c r="H16" s="17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>
      <c r="A17" s="24">
        <v>0.0</v>
      </c>
      <c r="B17" s="25"/>
      <c r="C17" s="26"/>
      <c r="D17" s="17"/>
      <c r="E17" s="26"/>
      <c r="F17" s="17"/>
      <c r="G17" s="17"/>
      <c r="H17" s="17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>
      <c r="A18" s="2"/>
      <c r="B18" s="2"/>
      <c r="C18" s="2"/>
      <c r="D18" s="2"/>
      <c r="E18" s="26"/>
      <c r="F18" s="26"/>
      <c r="G18" s="26"/>
      <c r="H18" s="26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>
      <c r="A19" s="27" t="s">
        <v>15</v>
      </c>
      <c r="B19" s="28">
        <f>'No Touch'!B23</f>
        <v>2.87</v>
      </c>
      <c r="C19" s="2"/>
      <c r="D19" s="2"/>
      <c r="E19" s="2"/>
      <c r="F19" s="26"/>
      <c r="G19" s="26"/>
      <c r="H19" s="26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>
      <c r="A20" s="29" t="s">
        <v>16</v>
      </c>
      <c r="B20" s="30">
        <f>'No Touch'!B24</f>
        <v>0</v>
      </c>
      <c r="C20" s="2"/>
      <c r="D20" s="2"/>
      <c r="E20" s="26"/>
      <c r="F20" s="31"/>
      <c r="G20" s="32"/>
      <c r="H20" s="26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6.5" customHeight="1">
      <c r="A21" s="33" t="s">
        <v>17</v>
      </c>
      <c r="B21" s="34">
        <f>'No Touch'!B25</f>
        <v>2.87</v>
      </c>
      <c r="C21" s="2"/>
      <c r="D21" s="2"/>
      <c r="E21" s="31"/>
      <c r="F21" s="26"/>
      <c r="G21" s="26"/>
      <c r="H21" s="26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5.75" customHeight="1">
      <c r="A22" s="35" t="s">
        <v>18</v>
      </c>
      <c r="B22" s="36">
        <f>'No Touch'!B26</f>
        <v>0.3444</v>
      </c>
      <c r="C22" s="2"/>
      <c r="D22" s="2"/>
      <c r="E22" s="26"/>
      <c r="F22" s="26"/>
      <c r="G22" s="26"/>
      <c r="H22" s="26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5.75" customHeight="1">
      <c r="A23" s="29" t="s">
        <v>19</v>
      </c>
      <c r="B23" s="36">
        <f>'No Touch'!B27</f>
        <v>0</v>
      </c>
      <c r="C23" s="2"/>
      <c r="D23" s="2"/>
      <c r="E23" s="26"/>
      <c r="F23" s="26"/>
      <c r="G23" s="26"/>
      <c r="H23" s="26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5.75" customHeight="1">
      <c r="A24" s="29" t="s">
        <v>20</v>
      </c>
      <c r="B24" s="30">
        <f>'No Touch'!B28</f>
        <v>0</v>
      </c>
      <c r="C24" s="2"/>
      <c r="D24" s="2"/>
      <c r="E24" s="26"/>
      <c r="F24" s="26"/>
      <c r="G24" s="26"/>
      <c r="H24" s="26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5.75" customHeight="1">
      <c r="A25" s="37" t="s">
        <v>21</v>
      </c>
      <c r="B25" s="38">
        <f>'No Touch'!B29</f>
        <v>3.2144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5.75" customHeight="1">
      <c r="A26" s="29" t="s">
        <v>22</v>
      </c>
      <c r="B26" s="36">
        <f>'No Touch'!B30</f>
        <v>1</v>
      </c>
      <c r="C26" s="2"/>
      <c r="D26" s="2"/>
      <c r="E26" s="26"/>
      <c r="F26" s="26"/>
      <c r="G26" s="26"/>
      <c r="H26" s="26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5.75" customHeight="1">
      <c r="A27" s="29" t="s">
        <v>23</v>
      </c>
      <c r="B27" s="36">
        <f>'No Touch'!B31</f>
        <v>0.12</v>
      </c>
      <c r="C27" s="2"/>
      <c r="D27" s="2"/>
      <c r="E27" s="26"/>
      <c r="F27" s="26"/>
      <c r="G27" s="26"/>
      <c r="H27" s="2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6.5" customHeight="1">
      <c r="A28" s="39" t="s">
        <v>24</v>
      </c>
      <c r="B28" s="40">
        <f>'No Touch'!B32</f>
        <v>4.3344</v>
      </c>
      <c r="C28" s="2"/>
      <c r="D28" s="2"/>
      <c r="E28" s="26"/>
      <c r="F28" s="41"/>
      <c r="G28" s="26"/>
      <c r="H28" s="2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5.75" customHeight="1">
      <c r="A29" s="26"/>
      <c r="B29" s="2"/>
      <c r="C29" s="2"/>
      <c r="D29" s="2"/>
      <c r="E29" s="26"/>
      <c r="F29" s="26"/>
      <c r="G29" s="26"/>
      <c r="H29" s="2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5.75" customHeight="1">
      <c r="A30" s="26"/>
      <c r="B30" s="2"/>
      <c r="C30" s="2"/>
      <c r="D30" s="2"/>
      <c r="E30" s="26"/>
      <c r="F30" s="26"/>
      <c r="G30" s="26"/>
      <c r="H30" s="2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5.75" customHeight="1">
      <c r="A31" s="26"/>
      <c r="B31" s="2"/>
      <c r="C31" s="2"/>
      <c r="D31" s="2"/>
      <c r="E31" s="26"/>
      <c r="F31" s="26"/>
      <c r="G31" s="26"/>
      <c r="H31" s="2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5.7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5.7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5.7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5.7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5.7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5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5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5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5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5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5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5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5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5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5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5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5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5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5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5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5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5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5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5.7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5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5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5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5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5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5.7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5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5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5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5.7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5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5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5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5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5.7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5.7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5.7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5.7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5.7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5.7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5.7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5.7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5.7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5.7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5.7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5.7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5.7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5.7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5.7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5.7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5.7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5.7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5.7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5.7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5.7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5.7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5.7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5.7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5.7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5.7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5.7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5.7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5.7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5.7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5.7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5.7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5.7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5.7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5.7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5.7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5.7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5.7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5.7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5.7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5.7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5.7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5.7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5.7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5.7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5.7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5.7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5.7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5.7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5.7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5.7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5.7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5.7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5.7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5.7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5.7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5.7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5.7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5.7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5.7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5.7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5.7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5.7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5.7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5.7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5.7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5.7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5.7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5.7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5.7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5.7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5.7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5.7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5.7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5.7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5.7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5.7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5.7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5.7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5.7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5.7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5.7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5.7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5.7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5.7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5.7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5.7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5.7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5.7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5.7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5.7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5.7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5.7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5.7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5.7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5.7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5.7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5.7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5.7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5.7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5.7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5.7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5.7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5.7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5.7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5.7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5.7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5.7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5.7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5.7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5.7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5.7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5.7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5.7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5.7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5.7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5.7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5.7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5.7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5.7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5.7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5.7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5.7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5.7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5.7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5.7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5.7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5.7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5.7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5.7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5.7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C1"/>
    <mergeCell ref="A9:C9"/>
    <mergeCell ref="A15:B15"/>
  </mergeCells>
  <printOptions/>
  <pageMargins bottom="0.75" footer="0.0" header="0.0" left="0.7" right="0.7" top="0.75"/>
  <pageSetup orientation="portrait"/>
  <headerFooter>
    <oddFooter>&amp;C#000000Confidential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9.63"/>
    <col customWidth="1" min="2" max="2" width="17.13"/>
    <col customWidth="1" min="3" max="3" width="14.0"/>
    <col customWidth="1" min="4" max="4" width="27.5"/>
    <col customWidth="1" min="5" max="5" width="16.75"/>
    <col customWidth="1" min="6" max="7" width="7.63"/>
  </cols>
  <sheetData>
    <row r="1">
      <c r="A1" s="42">
        <f>Sheet1!C5</f>
        <v>45446.36335</v>
      </c>
      <c r="B1" s="42">
        <f>Sheet1!C3</f>
        <v>45446.36335</v>
      </c>
      <c r="C1" s="43">
        <v>0.0</v>
      </c>
      <c r="E1" s="42">
        <f>Sheet1!C5</f>
        <v>45446.36335</v>
      </c>
      <c r="F1" s="42">
        <f>Sheet1!C4</f>
        <v>45446.36335</v>
      </c>
      <c r="G1" s="43">
        <v>0.0</v>
      </c>
    </row>
    <row r="2">
      <c r="A2" s="44">
        <f>Sheet1!B5</f>
        <v>0.4020833333</v>
      </c>
      <c r="B2" s="44">
        <f>Sheet1!B3</f>
        <v>0.6986111111</v>
      </c>
      <c r="E2" s="44">
        <f>Sheet1!B5</f>
        <v>0.4020833333</v>
      </c>
      <c r="F2" s="44">
        <f>Sheet1!B4</f>
        <v>0.7013888889</v>
      </c>
    </row>
    <row r="4">
      <c r="A4" s="45" t="str">
        <f t="shared" ref="A4:B4" si="1">TEXT(A1,"mmmm dd, yyyy   ")&amp;TEXT(A2,"hh:mm")</f>
        <v>June 03, 2024   09:39</v>
      </c>
      <c r="B4" s="45" t="str">
        <f t="shared" si="1"/>
        <v>June 03, 2024   16:46</v>
      </c>
      <c r="E4" s="45" t="str">
        <f t="shared" ref="E4:F4" si="2">TEXT(E1,"mmmm dd, yyyy   ")&amp;TEXT(E2,"hh:mm")</f>
        <v>June 03, 2024   09:39</v>
      </c>
      <c r="F4" s="45" t="str">
        <f t="shared" si="2"/>
        <v>June 03, 2024   16:50</v>
      </c>
    </row>
    <row r="5">
      <c r="A5" s="45" t="str">
        <f>IF(AND(DATEDIF(A4,B4,"d")&gt;1,MINUTE(B4)&lt;MINUTE(A4),HOUR(B4)=0,HOUR(A4)=0),DATEDIF(A4,B4,"d")-1,IF(AND(DATEDIF(A4,B4,"d")&gt;1, HOUR(B4-A4)&gt;=12,HOUR(B4)&gt;HOUR(A4)),DATEDIF(A4,B4,"d"),IF(AND(DATEDIF(A4,B4,"d")&gt;1,HOUR(B4)&lt;HOUR(A4)), DATEDIF(A4,B4,"d")-1,IF(AND(DATEDIF(A4,B4,"d")=1,MINUTE(B4)&lt;MINUTE(A4),HOUR(B4)=0,HOUR(A4)=0),DATEDIF(A4,B4,"d")-1,IF(AND(DATEDIF(A4,B4,"d")=1,HOUR(B4-A4)&gt;=6,HOUR(B4)&gt;HOUR(A4),HOUR(B4)&gt;11),DATEDIF(A4,B4,"d"),IF(AND(DATEDIF(A4,B4,"d")=1,HOUR(B4)&lt;HOUR(A4)),DATEDIF(A4,B4,"d")-1,DATEDIF(A4,B4,"d"))))))) &amp; " day(s) " &amp;HOUR(B4-A4) &amp; " hour(s) " &amp;(MINUTE(B4-A4)&amp;" minute(s)")</f>
        <v>0 day(s) 7 hour(s) 7 minute(s)</v>
      </c>
      <c r="E5" s="45" t="str">
        <f>IF(AND(DATEDIF(E4,F4,"d")&gt;1,MINUTE(F4)&lt;MINUTE(E4),HOUR(F4)=0,HOUR(E4)=0),DATEDIF(E4,F4,"d")-1,IF(AND(DATEDIF(E4,F4,"d")&gt;1, HOUR(F4-E4)&gt;=12,HOUR(F4)&gt;HOUR(E4)),DATEDIF(E4,F4,"d"),IF(AND(DATEDIF(E4,F4,"d")&gt;1,HOUR(F4)&lt;HOUR(E4)), DATEDIF(E4,F4,"d")-1,IF(AND(DATEDIF(E4,F4,"d")=1,MINUTE(F4)&lt;MINUTE(E4),HOUR(F4)=0,HOUR(E4)=0),DATEDIF(E4,F4,"d")-1,IF(AND(DATEDIF(E4,F4,"d")=1,HOUR(F4-E4)&gt;=6,HOUR(F4)&gt;HOUR(E4),HOUR(F4)&gt;11),DATEDIF(E4,F4,"d"),IF(AND(DATEDIF(E4,F4,"d")=1,HOUR(F4)&lt;HOUR(E4)),DATEDIF(E4,F4,"d")-1,DATEDIF(E4,F4,"d"))))))) &amp; " day(s) " &amp;HOUR(F4-E4) &amp; " hour(s) " &amp;(MINUTE(F4-E4)&amp;" minute(s)")</f>
        <v>0 day(s) 7 hour(s) 11 minute(s)</v>
      </c>
    </row>
    <row r="6">
      <c r="A6" s="45" t="s">
        <v>15</v>
      </c>
      <c r="B6" s="46">
        <f>IF(AND(DATEDIF('No Touch'!A4,'No Touch'!B4,"d")&lt;1,HOUR('No Touch'!B4-'No Touch'!A4)&lt;6,MINUTE('No Touch'!B4-'No Touch'!A4)&lt;37),HOUR('No Touch'!B4-'No Touch'!A4)*14.99+MINUTE('No Touch'!B4-'No Touch'!A4)*0.41,IF(AND(DATEDIF('No Touch'!A4,'No Touch'!B4,"d")&lt;1,HOUR('No Touch'!B4-'No Touch'!A4)&lt;6,MINUTE('No Touch'!B4-'No Touch'!A4)&gt;36),HOUR('No Touch'!B4-'No Touch'!A4)*14.99+14.99,IF(AND(DATEDIF('No Touch'!A4,'No Touch'!B4,"d")=1,HOUR('No Touch'!B4-'No Touch'!A4)&gt;=6,HOUR('No Touch'!A4)&lt;12,HOUR('No Touch'!B4)&gt;=12,HOUR('No Touch'!B4)&gt;HOUR('No Touch'!A4)),2*89.99,IF(AND(DATEDIF('No Touch'!A4,'No Touch'!B4,"d")&lt;1,HOUR('No Touch'!B4-'No Touch'!A4)&gt;=6),1*89.99,IF(AND(DATEDIF('No Touch'!A4,'No Touch'!B4,"d")=1,HOUR('No Touch'!A4)&gt;18,HOUR('No Touch'!B4)&lt;6,HOUR('No Touch'!B4-'No Touch'!A4)&lt;6),HOUR('No Touch'!B4-'No Touch'!A4)*14.99+IF(MINUTE('No Touch'!B4-'No Touch'!A4)&lt;37,MINUTE('No Touch'!B4-'No Touch'!A4)*0.41,1*14.99),IF(AND(DATEDIF('No Touch'!A4,'No Touch'!B4,"d")=1,DAY('No Touch'!B4-'No Touch'!A4)&gt;=1,HOUR('No Touch'!B4-'No Touch'!A4)&lt;6),1*89.99+HOUR('No Touch'!B4-'No Touch'!A4)*14.99+IF(MINUTE('No Touch'!B4-'No Touch'!A4)&lt;37,MINUTE('No Touch'!B4-'No Touch'!A4)*0.41,1*14.99),IF(AND(DATEDIF('No Touch'!A4,'No Touch'!B4,"d")&gt;1,DAY('No Touch'!B4-'No Touch'!A4)&gt;=1,DATEDIF('No Touch'!A4,'No Touch'!B4,"d")=DAY('No Touch'!B4-'No Touch'!A4),HOUR('No Touch'!B4-'No Touch'!A4)&lt;6),DATEDIF('No Touch'!A4,'No Touch'!B4,"d")*89.99+HOUR('No Touch'!B4-'No Touch'!A4)*14.99+IF(MINUTE('No Touch'!B4-'No Touch'!A4)&lt;37,MINUTE('No Touch'!B4-'No Touch'!A4)*0.41,1*14.99),IF(AND(DATEDIF('No Touch'!A4,'No Touch'!B4,"d")&gt;1,DAY('No Touch'!B4-'No Touch'!A4)&gt;=1,HOUR('No Touch'!B4-'No Touch'!A4)&lt;6),DATEDIF('No Touch'!A4,'No Touch'!B4,"d")*89.99-89.99+HOUR('No Touch'!B4-'No Touch'!A4)*14.99+IF(MINUTE('No Touch'!B4-'No Touch'!A4)&lt;37,MINUTE('No Touch'!B4-'No Touch'!A4)*0.41,1*14.99),IF(AND(DATEDIF('No Touch'!A4,'No Touch'!B4,"d")=1,DAY('No Touch'!B4-'No Touch'!A4)&lt;1,HOUR('No Touch'!B4-'No Touch'!A4)&lt;6),HOUR('No Touch'!B4-'No Touch'!A4)*14.99+IF(MINUTE('No Touch'!B4-'No Touch'!A4)&lt;37,MINUTE('No Touch'!B4-'No Touch'!A4)*0.41,1*14.99),IF(AND(DATEDIF('No Touch'!A4,'No Touch'!B4,"d")&gt;=1,HOUR('No Touch'!B4-'No Touch'!A4)&lt;6,HOUR('No Touch'!B4-'No Touch'!A4)&gt;=0,MINUTE('No Touch'!B4-'No Touch'!A4)&gt;36),DATEDIF('No Touch'!A4,'No Touch'!B4,"d")*89.99+HOUR('No Touch'!B4-'No Touch'!A4)*14.99+1*14.99,IF(AND(DATEDIF('No Touch'!A4,'No Touch'!B4,"d")=1,HOUR('No Touch'!B4-'No Touch'!A4)&gt;=6,HOUR('No Touch'!B4-'No Touch'!A4)&gt;=12),DATEDIF('No Touch'!A4,'No Touch'!B4,"d")*89.99,IF(AND(DATEDIF('No Touch'!A4,'No Touch'!B4,"d")&gt;1,HOUR('No Touch'!B4-'No Touch'!A4)&gt;=12,HOUR('No Touch'!B4)&gt;HOUR('No Touch'!A4)),DATEDIF('No Touch'!A4,'No Touch'!B4,"d")*89.99+89.99,IF(AND(DATEDIF('No Touch'!A4,'No Touch'!B4,"d")&gt;1,HOUR('No Touch'!B4-'No Touch'!A4)&gt;=6,HOUR('No Touch'!B4)&gt;HOUR('No Touch'!A4)),DATEDIF('No Touch'!A4,'No Touch'!B4,"d")*89.99+89.99,IF(AND(DATEDIF('No Touch'!A4,'No Touch'!B4,"d")&gt;1,HOUR('No Touch'!B4-'No Touch'!A4)&gt;=6,HOUR('No Touch'!B4)&lt;HOUR('No Touch'!A4)),DATEDIF('No Touch'!A4,'No Touch'!B4,"d")*89.99,IF(AND(DATEDIF('No Touch'!A4,'No Touch'!B4,"d")=1,HOUR('No Touch'!B4-'No Touch'!A4)&gt;=6,HOUR('No Touch'!B4)&gt;HOUR('No Touch'!A4)),DATEDIF('No Touch'!A4,'No Touch'!B4,"d")*89.99+89.99,IF(AND(DATEDIF('No Touch'!A4,'No Touch'!B4,"d")&gt;=2,HOUR('No Touch'!B4-'No Touch'!A4)&gt;=6,HOUR('No Touch'!B4)=0),DATEDIF('No Touch'!A4,'No Touch'!B4,"d")*89.99,IF(AND(DATEDIF('No Touch'!A4,'No Touch'!B4,"d")&gt;=2,HOUR('No Touch'!B4-'No Touch'!A4)&lt;6,HOUR('No Touch'!A4)&gt;18,HOUR('No Touch'!B4)&lt;6),DATEDIF('No Touch'!A4,'No Touch'!B4,"d")*89.99-89.99+HOUR('No Touch'!B4-'No Touch'!A4)*14.99+IF(MINUTE('No Touch'!B4-'No Touch'!A4)&lt;37,MINUTE('No Touch'!B4-'No Touch'!A4)*0.41,1*14.99),IF(AND(DATEDIF('No Touch'!A4,'No Touch'!B4,"d")&gt;=2,HOUR('No Touch'!B4-'No Touch'!A4)&lt;6,HOUR('No Touch'!A4)&lt;=20,HOUR('No Touch'!B4)&gt;=6),DATEDIF('No Touch'!A4,'No Touch'!B4,"d")*89.99+HOUR('No Touch'!B4-'No Touch'!A4)*14.99+IF(MINUTE('No Touch'!B4-'No Touch'!A4)&lt;37,MINUTE('No Touch'!B4-'No Touch'!A4)*0.41,1*14.99),IF(AND(DATEDIF('No Touch'!A4,'No Touch'!B4,"d")&gt;1,HOUR('No Touch'!B4-'No Touch'!A4)&lt;6,HOUR('No Touch'!B4)&gt;HOUR('No Touch'!A4)),DATEDIF('No Touch'!A4,'No Touch'!B4,"d")*89.99+HOUR('No Touch'!B4-'No Touch'!A4)*14.99+IF(MINUTE('No Touch'!B4-'No Touch'!A4)&lt;37,MINUTE('No Touch'!B4-'No Touch'!A4)*0.41,1*14.99),DATEDIF('No Touch'!A4,'No Touch'!B4,"d")*89.99)))))))))))))))))))</f>
        <v>89.99</v>
      </c>
      <c r="E6" s="45" t="s">
        <v>15</v>
      </c>
      <c r="F6" s="46">
        <f>IF(AND(DATEDIF('No Touch'!E4,'No Touch'!F4,"d")&lt;1,HOUR('No Touch'!F4-'No Touch'!E4)&lt;6,MINUTE('No Touch'!F4-'No Touch'!E4)&lt;37),HOUR('No Touch'!F4-'No Touch'!E4)*14.99+MINUTE('No Touch'!F4-'No Touch'!E4)*0.41,IF(AND(DATEDIF('No Touch'!E4,'No Touch'!F4,"d")&lt;1,HOUR('No Touch'!F4-'No Touch'!E4)&lt;6,MINUTE('No Touch'!F4-'No Touch'!E4)&gt;36),HOUR('No Touch'!F4-'No Touch'!E4)*14.99+14.99,IF(AND(DATEDIF('No Touch'!E4,'No Touch'!F4,"d")=1,HOUR('No Touch'!F4-'No Touch'!E4)&gt;=6,HOUR('No Touch'!E4)&lt;12,HOUR('No Touch'!F4)&gt;=12,HOUR('No Touch'!F4)&gt;HOUR('No Touch'!E4)),2*89.99,IF(AND(DATEDIF('No Touch'!E4,'No Touch'!F4,"d")&lt;1,HOUR('No Touch'!F4-'No Touch'!E4)&gt;=6),1*89.99,IF(AND(DATEDIF('No Touch'!E4,'No Touch'!F4,"d")=1,HOUR('No Touch'!E4)&gt;18,HOUR('No Touch'!F4)&lt;6,HOUR('No Touch'!F4-'No Touch'!E4)&lt;6),HOUR('No Touch'!F4-'No Touch'!E4)*14.99+IF(MINUTE('No Touch'!F4-'No Touch'!E4)&lt;37,MINUTE('No Touch'!F4-'No Touch'!E4)*0.41,1*14.99),IF(AND(DATEDIF('No Touch'!E4,'No Touch'!F4,"d")=1,DAY('No Touch'!F4-'No Touch'!E4)&gt;=1,HOUR('No Touch'!F4-'No Touch'!E4)&lt;6),1*89.99+HOUR('No Touch'!F4-'No Touch'!E4)*14.99+IF(MINUTE('No Touch'!F4-'No Touch'!E4)&lt;37,MINUTE('No Touch'!F4-'No Touch'!E4)*0.41,1*14.99),IF(AND(DATEDIF('No Touch'!E4,'No Touch'!F4,"d")&gt;1,DAY('No Touch'!F4-'No Touch'!E4)&gt;=1,DATEDIF('No Touch'!E4,'No Touch'!F4,"d")=DAY('No Touch'!F4-'No Touch'!E4),HOUR('No Touch'!F4-'No Touch'!E4)&lt;6),DATEDIF('No Touch'!E4,'No Touch'!F4,"d")*89.99+HOUR('No Touch'!F4-'No Touch'!E4)*14.99+IF(MINUTE('No Touch'!F4-'No Touch'!E4)&lt;37,MINUTE('No Touch'!F4-'No Touch'!E4)*0.41,1*14.99),IF(AND(DATEDIF('No Touch'!E4,'No Touch'!F4,"d")&gt;1,DAY('No Touch'!F4-'No Touch'!E4)&gt;=1,HOUR('No Touch'!F4-'No Touch'!E4)&lt;6),DATEDIF('No Touch'!E4,'No Touch'!F4,"d")*89.99-89.99+HOUR('No Touch'!F4-'No Touch'!E4)*14.99+IF(MINUTE('No Touch'!F4-'No Touch'!E4)&lt;37,MINUTE('No Touch'!F4-'No Touch'!E4)*0.41,1*14.99),IF(AND(DATEDIF('No Touch'!E4,'No Touch'!F4,"d")=1,DAY('No Touch'!F4-'No Touch'!E4)&lt;1,HOUR('No Touch'!F4-'No Touch'!E4)&lt;6),HOUR('No Touch'!F4-'No Touch'!E4)*14.99+IF(MINUTE('No Touch'!F4-'No Touch'!E4)&lt;37,MINUTE('No Touch'!F4-'No Touch'!E4)*0.41,1*14.99),IF(AND(DATEDIF('No Touch'!E4,'No Touch'!F4,"d")&gt;=1,HOUR('No Touch'!F4-'No Touch'!E4)&lt;6,HOUR('No Touch'!F4-'No Touch'!E4)&gt;=0,MINUTE('No Touch'!F4-'No Touch'!E4)&gt;36),DATEDIF('No Touch'!E4,'No Touch'!F4,"d")*89.99+HOUR('No Touch'!F4-'No Touch'!E4)*14.99+1*14.99,IF(AND(DATEDIF('No Touch'!E4,'No Touch'!F4,"d")=1,HOUR('No Touch'!F4-'No Touch'!E4)&gt;=6,HOUR('No Touch'!F4-'No Touch'!E4)&gt;=12),DATEDIF('No Touch'!E4,'No Touch'!F4,"d")*89.99,IF(AND(DATEDIF('No Touch'!E4,'No Touch'!F4,"d")&gt;1,HOUR('No Touch'!F4-'No Touch'!E4)&gt;=12,HOUR('No Touch'!F4)&gt;HOUR('No Touch'!E4)),DATEDIF('No Touch'!E4,'No Touch'!F4,"d")*89.99+89.99,IF(AND(DATEDIF('No Touch'!E4,'No Touch'!F4,"d")&gt;1,HOUR('No Touch'!F4-'No Touch'!E4)&gt;=6,HOUR('No Touch'!F4)&gt;HOUR('No Touch'!E4)),DATEDIF('No Touch'!E4,'No Touch'!F4,"d")*89.99+89.99,IF(AND(DATEDIF('No Touch'!E4,'No Touch'!F4,"d")&gt;1,HOUR('No Touch'!F4-'No Touch'!E4)&gt;=6,HOUR('No Touch'!F4)&lt;HOUR('No Touch'!E4)),DATEDIF('No Touch'!E4,'No Touch'!F4,"d")*89.99,IF(AND(DATEDIF('No Touch'!E4,'No Touch'!F4,"d")=1,HOUR('No Touch'!F4-'No Touch'!E4)&gt;=6,HOUR('No Touch'!F4)&gt;HOUR('No Touch'!E4)),DATEDIF('No Touch'!E4,'No Touch'!F4,"d")*89.99+89.99,IF(AND(DATEDIF('No Touch'!E4,'No Touch'!F4,"d")&gt;=2,HOUR('No Touch'!F4-'No Touch'!E4)&gt;=6,HOUR('No Touch'!F4)=0),DATEDIF('No Touch'!E4,'No Touch'!F4,"d")*89.99,IF(AND(DATEDIF('No Touch'!E4,'No Touch'!F4,"d")&gt;=2,HOUR('No Touch'!F4-'No Touch'!E4)&lt;6,HOUR('No Touch'!E4)&gt;18,HOUR('No Touch'!F4)&lt;6),DATEDIF('No Touch'!E4,'No Touch'!F4,"d")*89.99-89.99+HOUR('No Touch'!F4-'No Touch'!E4)*14.99+IF(MINUTE('No Touch'!F4-'No Touch'!E4)&lt;37,MINUTE('No Touch'!F4-'No Touch'!E4)*0.41,1*14.99),IF(AND(DATEDIF('No Touch'!E4,'No Touch'!F4,"d")&gt;=2,HOUR('No Touch'!F4-'No Touch'!E4)&lt;6,HOUR('No Touch'!E4)&lt;=20,HOUR('No Touch'!F4)&gt;=6),DATEDIF('No Touch'!E4,'No Touch'!F4,"d")*89.99+HOUR('No Touch'!F4-'No Touch'!E4)*14.99+IF(MINUTE('No Touch'!F4-'No Touch'!E4)&lt;37,MINUTE('No Touch'!F4-'No Touch'!E4)*0.41,1*14.99),IF(AND(DATEDIF('No Touch'!E4,'No Touch'!F4,"d")&gt;1,HOUR('No Touch'!F4-'No Touch'!E4)&lt;6,HOUR('No Touch'!F4)&gt;HOUR('No Touch'!E4)),DATEDIF('No Touch'!E4,'No Touch'!F4,"d")*89.99+HOUR('No Touch'!F4-'No Touch'!E4)*14.99+IF(MINUTE('No Touch'!F4-'No Touch'!E4)&lt;37,MINUTE('No Touch'!F4-'No Touch'!E4)*0.41,1*14.99),DATEDIF('No Touch'!E4,'No Touch'!F4,"d")*89.99)))))))))))))))))))</f>
        <v>89.99</v>
      </c>
    </row>
    <row r="7">
      <c r="A7" s="45" t="s">
        <v>16</v>
      </c>
      <c r="B7" s="46">
        <f>IF(C1&gt;200,(C1-200)*0.45,0)</f>
        <v>0</v>
      </c>
      <c r="E7" s="45" t="s">
        <v>16</v>
      </c>
      <c r="F7" s="46">
        <f>IF(G1&gt;200,(G1-200)*0.45,0)</f>
        <v>0</v>
      </c>
    </row>
    <row r="8">
      <c r="A8" s="45" t="s">
        <v>17</v>
      </c>
      <c r="B8" s="46">
        <f>SUM(B6:B7)</f>
        <v>89.99</v>
      </c>
      <c r="E8" s="45" t="s">
        <v>17</v>
      </c>
      <c r="F8" s="46">
        <f>SUM(F6:F7)</f>
        <v>89.99</v>
      </c>
    </row>
    <row r="9">
      <c r="A9" s="45" t="s">
        <v>18</v>
      </c>
      <c r="B9" s="46">
        <f>B8*0.12</f>
        <v>10.7988</v>
      </c>
      <c r="E9" s="45" t="s">
        <v>18</v>
      </c>
      <c r="F9" s="46">
        <f>F8*0.12</f>
        <v>10.7988</v>
      </c>
    </row>
    <row r="10">
      <c r="A10" s="45" t="s">
        <v>19</v>
      </c>
      <c r="B10" s="46">
        <f>IF(AND(HOUR(A4)&lt;=HOUR(B4),HOUR(B4-A4)&gt;=8,DATEDIF(A4,B4,"D")=0),1.5,IF(AND(DATEDIF(A4,B4,"D")&gt;=1,HOUR(A4)&lt;&gt;HOUR(B4),HOUR(B4-A4)&gt;=8),DATEDIF(A4,B4,"D")*1.5+1.5,IF(AND(DATEDIF(A4,B4,"D")&gt;=1,HOUR(A4)&lt;&gt;HOUR(B4),HOUR(A4)&lt;HOUR(B4)),DATEDIF(A4,B4,"D")*1.5+1.5,IF(AND(DATEDIF(A4,B4,"D")&gt;=1,HOUR(A4)=HOUR(B4)),DATEDIF(A4,B4,"D")*1.5+1.5,IF(AND(DATEDIF(A4,B4,"D")&gt;=1,HOUR(A4)=0,HOUR(B4)=0),DATEDIF(A4,B4,"D")*1.5,IF(AND(DATEDIF(A4,B4,"D")=1,HOUR(A4)&gt;16, HOUR(B4)&lt;8,HOUR(B4-A4)&lt;&gt;0),0,IF(AND(DATEDIF(A4,B4,"D")&gt;1,HOUR(A4)&lt;&gt;HOUR(B4),HOUR(A4)&gt;HOUR(B4)),DATEDIF(A4,B4,"D")*1.5+1.5,0)))))))</f>
        <v>0</v>
      </c>
      <c r="E10" s="45" t="s">
        <v>19</v>
      </c>
      <c r="F10" s="46">
        <f>IF(AND(HOUR(E4)&lt;=HOUR(F4),HOUR(F4-E4)&gt;=8,DATEDIF(E4,F4,"D")=0),1.5,IF(AND(DATEDIF(E4,F4,"D")&gt;=1,HOUR(E4)&lt;&gt;HOUR(F4),HOUR(F4-E4)&gt;=8),DATEDIF(E4,F4,"D")*1.5+1.5,IF(AND(DATEDIF(E4,F4,"D")&gt;=1,HOUR(E4)&lt;&gt;HOUR(F4),HOUR(E4)&lt;HOUR(F4)),DATEDIF(E4,F4,"D")*1.5+1.5,IF(AND(DATEDIF(E4,F4,"D")&gt;=1,HOUR(E4)=HOUR(F4)),DATEDIF(E4,F4,"D")*1.5+1.5,IF(AND(DATEDIF(E4,F4,"D")&gt;=1,HOUR(E4)=0,HOUR(F4)=0),DATEDIF(E4,F4,"D")*1.5,IF(AND(DATEDIF(E4,F4,"D")=1,HOUR(E4)&gt;16, HOUR(F4)&lt;8,HOUR(F4-E4)&lt;&gt;0),0,IF(AND(DATEDIF(E4,F4,"D")&gt;1,HOUR(E4)&lt;&gt;HOUR(F4),HOUR(E4)&gt;HOUR(F4)),DATEDIF(E4,F4,"D")*1.5+1.5,0)))))))</f>
        <v>0</v>
      </c>
    </row>
    <row r="11">
      <c r="A11" s="45" t="s">
        <v>20</v>
      </c>
      <c r="B11" s="46">
        <f>B10*0.05</f>
        <v>0</v>
      </c>
      <c r="E11" s="45" t="s">
        <v>20</v>
      </c>
      <c r="F11" s="46">
        <f>F10*0.05</f>
        <v>0</v>
      </c>
    </row>
    <row r="12">
      <c r="A12" s="45" t="s">
        <v>25</v>
      </c>
      <c r="B12" s="46">
        <f>SUM(B8:B11)</f>
        <v>100.7888</v>
      </c>
      <c r="E12" s="45" t="s">
        <v>25</v>
      </c>
      <c r="F12" s="46">
        <f>SUM(F8:F11)</f>
        <v>100.7888</v>
      </c>
    </row>
    <row r="13">
      <c r="B13" s="46"/>
      <c r="F13" s="46"/>
    </row>
    <row r="14">
      <c r="B14" s="46"/>
      <c r="F14" s="46"/>
    </row>
    <row r="15">
      <c r="A15" s="45" t="s">
        <v>24</v>
      </c>
      <c r="B15" s="46">
        <f>SUM(B12:B14)</f>
        <v>100.7888</v>
      </c>
      <c r="E15" s="45" t="s">
        <v>24</v>
      </c>
      <c r="F15" s="46">
        <f>SUM(F12:F14)</f>
        <v>100.7888</v>
      </c>
    </row>
    <row r="20">
      <c r="A20" s="45" t="s">
        <v>26</v>
      </c>
    </row>
    <row r="21" ht="15.75" customHeight="1">
      <c r="A21" s="45" t="str">
        <f>TEXT(Sheet1!A11,"mmmm dd, yyyy   ")&amp;TEXT(Sheet1!B11,"hh:mm")</f>
        <v>June 03, 2024   08:43</v>
      </c>
      <c r="B21" s="45" t="str">
        <f>TEXT(Sheet1!A13,"mmmm dd, yyyy   ")&amp;TEXT(Sheet1!B13,"hh:mm")</f>
        <v>June 03, 2024   08:50</v>
      </c>
    </row>
    <row r="22" ht="15.75" customHeight="1">
      <c r="A22" s="2" t="str">
        <f>IF(AND(DATEDIF('No Touch'!A21,'No Touch'!B21,"d")&gt;1,MINUTE('No Touch'!B21)&lt;MINUTE('No Touch'!A21),HOUR('No Touch'!B21)=0,HOUR('No Touch'!A21)=0),DATEDIF('No Touch'!A21,'No Touch'!B21,"d")-1,IF(AND(DATEDIF('No Touch'!A21,'No Touch'!B21,"d")&gt;1, HOUR('No Touch'!B21-'No Touch'!A21)&gt;=12,HOUR('No Touch'!B21)&gt;HOUR('No Touch'!A21)),DATEDIF('No Touch'!A21,'No Touch'!B21,"d"),IF(AND(DATEDIF('No Touch'!A21,'No Touch'!B21,"d")&gt;1,HOUR('No Touch'!B21)&lt;HOUR('No Touch'!A21)), DATEDIF('No Touch'!A21,'No Touch'!B21,"d")-1,IF(AND(DATEDIF('No Touch'!A21,'No Touch'!B21,"d")=1,MINUTE('No Touch'!B21)&lt;MINUTE('No Touch'!A21),HOUR('No Touch'!B21)=0,HOUR('No Touch'!A21)=0),DATEDIF('No Touch'!A21,'No Touch'!B21,"d")-1,IF(AND(DATEDIF('No Touch'!A21,'No Touch'!B21,"d")=1,HOUR('No Touch'!B21-'No Touch'!A21)&gt;=6,HOUR('No Touch'!B21)&gt;HOUR('No Touch'!A21),HOUR('No Touch'!B21)&gt;11),DATEDIF('No Touch'!A21,'No Touch'!B21,"d"),IF(AND(DATEDIF('No Touch'!A21,'No Touch'!B21,"d")=1,HOUR('No Touch'!B21)&lt;HOUR('No Touch'!A21)),DATEDIF('No Touch'!A21,'No Touch'!B21,"d")-1,DATEDIF('No Touch'!A21,'No Touch'!B21,"d"))))))) &amp; " day(s) " &amp;HOUR('No Touch'!B21-'No Touch'!A21) &amp; " hour(s) " &amp;(MINUTE('No Touch'!B21-'No Touch'!A21)&amp;" minute(s)")</f>
        <v>0 day(s) 0 hour(s) 7 minute(s)</v>
      </c>
      <c r="B22" s="2"/>
      <c r="C22" s="2"/>
      <c r="D22" s="2"/>
      <c r="E22" s="45" t="str">
        <f>"-Unadjusted trip charge "&amp;TEXT('No Touch'!A2,"h:mm")&amp;"-"&amp;TEXT('No Touch'!B2,"h:mm")&amp;" = $"&amp;ROUND('No Touch'!B15,2)&amp;"
-Adjusted Trip Charge "&amp;TEXT('No Touch'!E2,"h:mm")&amp;"-"&amp;TEXT('No Touch'!F2,"h:mm")&amp;" = $"&amp;ROUND('No Touch'!F15,2)&amp;"
-Difference = $"&amp;ROUND(('No Touch'!B15-'No Touch'!F15),2)</f>
        <v>-Unadjusted trip charge 9:39-16:46 = $100.79
-Adjusted Trip Charge 9:39-16:50 = $100.79
-Difference = $0</v>
      </c>
    </row>
    <row r="23" ht="15.75" customHeight="1">
      <c r="A23" s="2" t="s">
        <v>15</v>
      </c>
      <c r="B23" s="46">
        <f>IF(AND(DATEDIF('No Touch'!A21,'No Touch'!B21,"d")&lt;1,HOUR('No Touch'!B21-'No Touch'!A21)&lt;6,MINUTE('No Touch'!B21-'No Touch'!A21)&lt;37),HOUR('No Touch'!B21-'No Touch'!A21)*14.99+MINUTE('No Touch'!B21-'No Touch'!A21)*0.41,IF(AND(DATEDIF('No Touch'!A21,'No Touch'!B21,"d")&lt;1,HOUR('No Touch'!B21-'No Touch'!A21)&lt;6,MINUTE('No Touch'!B21-'No Touch'!A21)&gt;36),HOUR('No Touch'!B21-'No Touch'!A21)*14.99+14.99,IF(AND(DATEDIF('No Touch'!A21,'No Touch'!B21,"d")=1,HOUR('No Touch'!B21-'No Touch'!A21)&gt;=6,HOUR('No Touch'!A21)&lt;12,HOUR('No Touch'!B21)&gt;=12,HOUR('No Touch'!B21)&gt;HOUR('No Touch'!A21)),2*89.99,IF(AND(DATEDIF('No Touch'!A21,'No Touch'!B21,"d")&lt;1,HOUR('No Touch'!B21-'No Touch'!A21)&gt;=6),1*89.99,IF(AND(DATEDIF('No Touch'!A21,'No Touch'!B21,"d")=1,HOUR('No Touch'!A21)&gt;18,HOUR('No Touch'!B21)&lt;6,HOUR('No Touch'!B21-'No Touch'!A21)&lt;6),HOUR('No Touch'!B21-'No Touch'!A21)*14.99+IF(MINUTE('No Touch'!B21-'No Touch'!A21)&lt;37,MINUTE('No Touch'!B21-'No Touch'!A21)*0.41,1*14.99),IF(AND(DATEDIF('No Touch'!A21,'No Touch'!B21,"d")=1,DAY('No Touch'!B21-'No Touch'!A21)&gt;=1,HOUR('No Touch'!B21-'No Touch'!A21)&lt;6),1*89.99+HOUR('No Touch'!B21-'No Touch'!A21)*14.99+IF(MINUTE('No Touch'!B21-'No Touch'!A21)&lt;37,MINUTE('No Touch'!B21-'No Touch'!A21)*0.41,1*14.99),IF(AND(DATEDIF('No Touch'!A21,'No Touch'!B21,"d")&gt;1,DAY('No Touch'!B21-'No Touch'!A21)&gt;=1,DATEDIF('No Touch'!A21,'No Touch'!B21,"d")=DAY('No Touch'!B21-'No Touch'!A21),HOUR('No Touch'!B21-'No Touch'!A21)&lt;6),DATEDIF('No Touch'!A21,'No Touch'!B21,"d")*89.99+HOUR('No Touch'!B21-'No Touch'!A21)*14.99+IF(MINUTE('No Touch'!B21-'No Touch'!A21)&lt;37,MINUTE('No Touch'!B21-'No Touch'!A21)*0.41,1*14.99),IF(AND(DATEDIF('No Touch'!A21,'No Touch'!B21,"d")&gt;1,DAY('No Touch'!B21-'No Touch'!A21)&gt;=1,HOUR('No Touch'!B21-'No Touch'!A21)&lt;6),DATEDIF('No Touch'!A21,'No Touch'!B21,"d")*89.99-89.99+HOUR('No Touch'!B21-'No Touch'!A21)*14.99+IF(MINUTE('No Touch'!B21-'No Touch'!A21)&lt;37,MINUTE('No Touch'!B21-'No Touch'!A21)*0.41,1*14.99),IF(AND(DATEDIF('No Touch'!A21,'No Touch'!B21,"d")=1,DAY('No Touch'!B21-'No Touch'!A21)&lt;1,HOUR('No Touch'!B21-'No Touch'!A21)&lt;6),HOUR('No Touch'!B21-'No Touch'!A21)*14.99+IF(MINUTE('No Touch'!B21-'No Touch'!A21)&lt;37,MINUTE('No Touch'!B21-'No Touch'!A21)*0.41,1*14.99),IF(AND(DATEDIF('No Touch'!A21,'No Touch'!B21,"d")&gt;=1,HOUR('No Touch'!B21-'No Touch'!A21)&lt;6,HOUR('No Touch'!B21-'No Touch'!A21)&gt;=0,MINUTE('No Touch'!B21-'No Touch'!A21)&gt;36),DATEDIF('No Touch'!A21,'No Touch'!B21,"d")*89.99+HOUR('No Touch'!B21-'No Touch'!A21)*14.99+1*14.99,IF(AND(DATEDIF('No Touch'!A21,'No Touch'!B21,"d")=1,HOUR('No Touch'!B21-'No Touch'!A21)&gt;=6,HOUR('No Touch'!B21-'No Touch'!A21)&gt;=12),DATEDIF('No Touch'!A21,'No Touch'!B21,"d")*89.99,IF(AND(DATEDIF('No Touch'!A21,'No Touch'!B21,"d")&gt;1,HOUR('No Touch'!B21-'No Touch'!A21)&gt;=12,HOUR('No Touch'!B21)&gt;HOUR('No Touch'!A21)),DATEDIF('No Touch'!A21,'No Touch'!B21,"d")*89.99+89.99,IF(AND(DATEDIF('No Touch'!A21,'No Touch'!B21,"d")&gt;1,HOUR('No Touch'!B21-'No Touch'!A21)&gt;=6,HOUR('No Touch'!B21)&gt;HOUR('No Touch'!A21)),DATEDIF('No Touch'!A21,'No Touch'!B21,"d")*89.99+89.99,IF(AND(DATEDIF('No Touch'!A21,'No Touch'!B21,"d")&gt;1,HOUR('No Touch'!B21-'No Touch'!A21)&gt;=6,HOUR('No Touch'!B21)&lt;HOUR('No Touch'!A21)),DATEDIF('No Touch'!A21,'No Touch'!B21,"d")*89.99,IF(AND(DATEDIF('No Touch'!A21,'No Touch'!B21,"d")=1,HOUR('No Touch'!B21-'No Touch'!A21)&gt;=6,HOUR('No Touch'!B21)&gt;HOUR('No Touch'!A21)),DATEDIF('No Touch'!A21,'No Touch'!B21,"d")*89.99+89.99,IF(AND(DATEDIF('No Touch'!A21,'No Touch'!B21,"d")&gt;=2,HOUR('No Touch'!B21-'No Touch'!A21)&gt;=6,HOUR('No Touch'!B21)=0),DATEDIF('No Touch'!A21,'No Touch'!B21,"d")*89.99,IF(AND(DATEDIF('No Touch'!A21,'No Touch'!B21,"d")&gt;=2,HOUR('No Touch'!B21-'No Touch'!A21)&lt;6,HOUR('No Touch'!A21)&gt;18,HOUR('No Touch'!B21)&lt;6),DATEDIF('No Touch'!A21,'No Touch'!B21,"d")*89.99-89.99+HOUR('No Touch'!B21-'No Touch'!A21)*14.99+IF(MINUTE('No Touch'!B21-'No Touch'!A21)&lt;37,MINUTE('No Touch'!B21-'No Touch'!A21)*0.41,1*14.99),IF(AND(DATEDIF('No Touch'!A21,'No Touch'!B21,"d")&gt;=2,HOUR('No Touch'!B21-'No Touch'!A21)&lt;6,HOUR('No Touch'!A21)&lt;=20,HOUR('No Touch'!B21)&gt;=6),DATEDIF('No Touch'!A21,'No Touch'!B21,"d")*89.99+HOUR('No Touch'!B21-'No Touch'!A21)*14.99+IF(MINUTE('No Touch'!B21-'No Touch'!A21)&lt;37,MINUTE('No Touch'!B21-'No Touch'!A21)*0.41,1*14.99),IF(AND(DATEDIF('No Touch'!A21,'No Touch'!B21,"d")&gt;1,HOUR('No Touch'!B21-'No Touch'!A21)&lt;6,HOUR('No Touch'!B21)&gt;HOUR('No Touch'!A21)),DATEDIF('No Touch'!A21,'No Touch'!B21,"d")*89.99+HOUR('No Touch'!B21-'No Touch'!A21)*14.99+IF(MINUTE('No Touch'!B21-'No Touch'!A21)&lt;37,MINUTE('No Touch'!B21-'No Touch'!A21)*0.41,1*14.99),DATEDIF('No Touch'!A21,'No Touch'!B21,"d")*89.99)))))))))))))))))))</f>
        <v>2.87</v>
      </c>
    </row>
    <row r="24" ht="15.75" customHeight="1">
      <c r="A24" s="45" t="s">
        <v>16</v>
      </c>
      <c r="B24" s="46">
        <f>IF(Sheet1!A17&gt;200,(Sheet1!A17-200)*0.45,0)</f>
        <v>0</v>
      </c>
    </row>
    <row r="25" ht="15.75" customHeight="1">
      <c r="A25" s="45" t="s">
        <v>17</v>
      </c>
      <c r="B25" s="46">
        <f>SUM(B23:B24)</f>
        <v>2.87</v>
      </c>
    </row>
    <row r="26" ht="15.75" customHeight="1">
      <c r="A26" s="45" t="s">
        <v>18</v>
      </c>
      <c r="B26" s="46">
        <f>B25*0.12</f>
        <v>0.3444</v>
      </c>
    </row>
    <row r="27" ht="15.75" customHeight="1">
      <c r="A27" s="45" t="s">
        <v>19</v>
      </c>
      <c r="B27" s="46">
        <f>IF(AND(HOUR('No Touch'!A21)&lt;=HOUR('No Touch'!B21),HOUR('No Touch'!B21-'No Touch'!A21)&gt;=8,DATEDIF('No Touch'!A21,'No Touch'!B21,"D")=0),1.5,IF(AND(DATEDIF('No Touch'!A21,'No Touch'!B21,"D")&gt;=1,HOUR('No Touch'!A21)&lt;&gt;HOUR('No Touch'!B21),HOUR('No Touch'!B21-'No Touch'!A21)&gt;=8),DATEDIF('No Touch'!A21,'No Touch'!B21,"D")*1.5+1.5,IF(AND(DATEDIF('No Touch'!A21,'No Touch'!B21,"D")&gt;=1,HOUR('No Touch'!A21)&lt;&gt;HOUR('No Touch'!B21),HOUR('No Touch'!A21)&lt;HOUR('No Touch'!B21)),DATEDIF('No Touch'!A21,'No Touch'!B21,"D")*1.5+1.5,IF(AND(DATEDIF('No Touch'!A21,'No Touch'!B21,"D")&gt;=1,HOUR('No Touch'!A21)=HOUR('No Touch'!B21)),DATEDIF('No Touch'!A21,'No Touch'!B21,"D")*1.5+1.5,IF(AND(DATEDIF('No Touch'!A21,'No Touch'!B21,"D")&gt;=1,HOUR('No Touch'!A21)=0,HOUR('No Touch'!B21)=0),DATEDIF('No Touch'!A21,'No Touch'!B21,"D")*1.5,IF(AND(DATEDIF('No Touch'!A21,'No Touch'!B21,"D")=1,HOUR('No Touch'!A21)&gt;16, HOUR('No Touch'!B21)&lt;8,HOUR('No Touch'!B21-'No Touch'!A21)&lt;&gt;0),0,IF(AND(DATEDIF('No Touch'!A21,'No Touch'!B21,"D")&gt;1,HOUR('No Touch'!A21)&lt;&gt;HOUR('No Touch'!B21),HOUR('No Touch'!A21)&gt;HOUR('No Touch'!B21)),DATEDIF('No Touch'!A21,'No Touch'!B21,"D")*1.5+1.5,0)))))))</f>
        <v>0</v>
      </c>
    </row>
    <row r="28" ht="14.25" customHeight="1">
      <c r="A28" s="45" t="s">
        <v>20</v>
      </c>
      <c r="B28" s="46">
        <f>B27*0.05</f>
        <v>0</v>
      </c>
    </row>
    <row r="29" ht="15.75" customHeight="1">
      <c r="A29" s="45" t="s">
        <v>25</v>
      </c>
      <c r="B29" s="46">
        <f>SUM(B25:B28)</f>
        <v>3.2144</v>
      </c>
    </row>
    <row r="30" ht="15.75" customHeight="1">
      <c r="A30" s="45" t="s">
        <v>27</v>
      </c>
      <c r="B30" s="46">
        <v>1.0</v>
      </c>
    </row>
    <row r="31" ht="15.75" customHeight="1">
      <c r="A31" s="45" t="s">
        <v>28</v>
      </c>
      <c r="B31" s="46">
        <f>B30*0.12</f>
        <v>0.12</v>
      </c>
    </row>
    <row r="32" ht="15.75" customHeight="1">
      <c r="A32" s="45" t="s">
        <v>24</v>
      </c>
      <c r="B32" s="46">
        <f>SUM(B29:B31)</f>
        <v>4.3344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headerFooter>
    <oddFooter>&amp;C#000000Confidential</oddFooter>
  </headerFooter>
  <drawing r:id="rId1"/>
</worksheet>
</file>